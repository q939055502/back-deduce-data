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目标总表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<sst xmlns="http://schemas.openxmlformats.org/spreadsheetml/2006/main" count="139" uniqueCount="73">
  <si>
    <t/>
  </si>
  <si>
    <t>回弹法检测混凝土抗压强度记录单</t>
  </si>
  <si>
    <t>第1页/共30页</t>
  </si>
  <si>
    <t>委托单位：</t>
  </si>
  <si>
    <t>王罗伟、王汤史、王林通</t>
  </si>
  <si>
    <t>委托编号：</t>
  </si>
  <si>
    <t>JD(V)-W202600036</t>
  </si>
  <si>
    <t>工程名称：</t>
  </si>
  <si>
    <t>东尚园A栋建筑结构安全性鉴定</t>
  </si>
  <si>
    <t>构件名称：</t>
  </si>
  <si>
    <t>编号</t>
  </si>
  <si>
    <t>测 区 回 弹 值</t>
  </si>
  <si>
    <t>Rm</t>
  </si>
  <si>
    <t>碳化深度值</t>
  </si>
  <si>
    <t>角度修后</t>
  </si>
  <si>
    <t>浇筑面修后</t>
  </si>
  <si>
    <t>测区强度</t>
  </si>
  <si>
    <t>构件</t>
  </si>
  <si>
    <t>测区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</si>
  <si>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</si>
  <si>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</si>
  <si>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</si>
  <si>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</si>
  <si>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</si>
  <si>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</si>
  <si>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</si>
  <si>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</si>
  <si>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</si>
  <si>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</si>
  <si>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</si>
  <si>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</si>
  <si>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</si>
  <si>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</si>
  <si>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</si>
  <si>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</si>
  <si>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C1</t>
  </si>
  <si>
    <t>C2</t>
  </si>
  <si>
    <t>C3</t>
  </si>
  <si>
    <t>计算</t>
  </si>
  <si>
    <t>6.00</t>
  </si>
  <si>
    <t>--</t>
  </si>
  <si>
    <t>以</t>
  </si>
  <si>
    <t>下</t>
  </si>
  <si>
    <t>空</t>
  </si>
  <si>
    <t>白</t>
  </si>
  <si>
    <t>测面状态</t>
  </si>
  <si>
    <t>侧面(干燥、风干)</t>
  </si>
  <si>
    <t>设计等级</t>
  </si>
  <si>
    <t>浇筑日期</t>
  </si>
  <si>
    <t>≥28天</t>
  </si>
  <si>
    <t>仪器型号</t>
  </si>
  <si>
    <t>HT225-D</t>
  </si>
  <si>
    <t>备注信息</t>
  </si>
  <si>
    <t>弹击角度</t>
  </si>
  <si>
    <t>水平0°</t>
  </si>
  <si>
    <t>最大碳化</t>
  </si>
  <si>
    <t>回弹仪号</t>
  </si>
  <si>
    <t>HYYQ-09-0068</t>
  </si>
  <si>
    <t>回弹率定</t>
  </si>
  <si>
    <t>80/80</t>
  </si>
  <si>
    <t xml:space="preserve"> </t>
  </si>
  <si>
    <t>泵送方式</t>
  </si>
  <si>
    <t>泵送</t>
  </si>
  <si>
    <t>测强曲线</t>
  </si>
  <si>
    <t>国家统一曲线(2011)</t>
  </si>
  <si>
    <t>执行标准</t>
  </si>
  <si>
    <t>回弹法检测混凝土抗压强度技术规程 [JGJ/T 23-2011]</t>
  </si>
  <si>
    <t>推定强度</t>
  </si>
  <si>
    <t>推定值:[ 31.1MPa ] 平均值:[ 40.5MPa ] 最小值:[ 32.0MPa ] 标准差:[ 5.69MPa ]</t>
  </si>
  <si>
    <t>检测：</t>
  </si>
  <si>
    <t>校核：</t>
  </si>
  <si>
    <t>检测日期：</t>
  </si>
  <si>
    <t>2026-04-18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</si>
</sst>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6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2">
    <xf numFmtId="0" fontId="0" fillId="0" borderId="0" xfId="0"/>
    <xf numFmtId="49" fontId="0" fillId="0" borderId="0" xfId="0" applyNumberFormat="1" applyFill="1"/>
    <xf numFmtId="0" fontId="0" fillId="0" borderId="0" xfId="0" applyFill="1"/>
    <xf numFmtId="49" fontId="1" fillId="0" borderId="0" xfId="0" applyNumberFormat="1" applyFont="1" applyFill="1" applyAlignment="1">
      <alignment horizontal="center" vertical="top" shrinkToFit="1"/>
    </xf>
    <xf numFmtId="49" fontId="2" fillId="0" borderId="0" xfId="0" applyNumberFormat="1" applyFont="1" applyFill="1" applyAlignment="1">
      <alignment horizontal="center" vertical="center" shrinkToFit="1"/>
    </xf>
    <xf numFmtId="49" fontId="3" fillId="0" borderId="0" xfId="0" applyNumberFormat="1" applyFont="1" applyFill="1" applyAlignment="1">
      <alignment horizontal="center" vertical="top" shrinkToFit="1"/>
    </xf>
    <xf numFmtId="49" fontId="4" fillId="0" borderId="0" xfId="0" applyNumberFormat="1" applyFont="1" applyFill="1" applyAlignment="1">
      <alignment horizontal="center" vertical="center" shrinkToFit="1"/>
    </xf>
    <xf numFmtId="49" fontId="4" fillId="0" borderId="0" xfId="0" applyNumberFormat="1" applyFont="1" applyFill="1" applyAlignment="1">
      <alignment horizontal="left" vertical="center" shrinkToFit="1"/>
    </xf>
    <xf numFmtId="49" fontId="4" fillId="0" borderId="1" xfId="0" applyNumberFormat="1" applyFont="1" applyFill="1" applyBorder="1" applyAlignment="1">
      <alignment horizontal="center" vertical="center" shrinkToFit="1"/>
    </xf>
    <xf numFmtId="49" fontId="4" fillId="0" borderId="1" xfId="0" applyNumberFormat="1" applyFont="1" applyFill="1" applyBorder="1" applyAlignment="1">
      <alignment horizontal="left" vertical="center" shrinkToFit="1"/>
    </xf>
    <xf numFmtId="49" fontId="4" fillId="0" borderId="2" xfId="0" applyNumberFormat="1" applyFont="1" applyFill="1" applyBorder="1" applyAlignment="1">
      <alignment horizontal="center" vertical="center" shrinkToFit="1"/>
    </xf>
    <xf numFmtId="0" fontId="4" fillId="0" borderId="2" xfId="0" applyNumberFormat="1" applyFont="1" applyFill="1" applyBorder="1" applyAlignment="1">
      <alignment horizontal="center" vertical="center" wrapText="1" shrinkToFit="1"/>
    </xf>
    <xf numFmtId="49" fontId="4" fillId="0" borderId="2" xfId="0" applyNumberFormat="1" applyFont="1" applyFill="1" applyBorder="1" applyAlignment="1">
      <alignment horizontal="left" vertical="center" shrinkToFit="1"/>
    </xf>
    <xf numFmtId="49" fontId="4" fillId="0" borderId="3" xfId="0" applyNumberFormat="1" applyFont="1" applyFill="1" applyBorder="1" applyAlignment="1">
      <alignment horizontal="left" vertical="center" shrinkToFit="1"/>
    </xf>
    <xf numFmtId="176" fontId="4" fillId="0" borderId="3" xfId="0" applyNumberFormat="1" applyFont="1" applyFill="1" applyBorder="1" applyAlignment="1">
      <alignment horizontal="left" vertical="center" shrinkToFit="1"/>
    </xf>
    <xf numFmtId="49" fontId="4" fillId="0" borderId="3" xfId="0" applyNumberFormat="1" applyFont="1" applyFill="1" applyBorder="1" applyAlignment="1">
      <alignment horizontal="left" vertical="center" shrinkToFit="1"/>
    </xf>
    <xf numFmtId="49" fontId="4" fillId="0" borderId="4" xfId="0" applyNumberFormat="1" applyFont="1" applyFill="1" applyBorder="1" applyAlignment="1">
      <alignment horizontal="center" vertical="center" shrinkToFit="1"/>
    </xf>
    <xf numFmtId="49" fontId="4" fillId="0" borderId="4" xfId="0" applyNumberFormat="1" applyFont="1" applyFill="1" applyBorder="1" applyAlignment="1">
      <alignment horizontal="left" vertical="center" shrinkToFit="1"/>
    </xf>
    <xf numFmtId="49" fontId="4" fillId="0" borderId="0" xfId="0" applyNumberFormat="1" applyFont="1" applyFill="1" applyAlignment="1">
      <alignment horizontal="right" vertical="center" shrinkToFit="1"/>
    </xf>
    <xf numFmtId="49" fontId="4" fillId="0" borderId="5" xfId="0" applyNumberFormat="1" applyFont="1" applyFill="1" applyBorder="1" applyAlignment="1">
      <alignment horizontal="left" vertical="center" shrinkToFit="1"/>
    </xf>
    <xf numFmtId="49" fontId="4" fillId="0" borderId="6" xfId="0" applyNumberFormat="1" applyFont="1" applyFill="1" applyBorder="1" applyAlignment="1">
      <alignment horizontal="left" vertical="center" shrinkToFit="1"/>
    </xf>
    <xf numFmtId="49" fontId="4" fillId="0" borderId="3" xfId="0" applyNumberFormat="1" applyFont="1" applyFill="1" applyBorder="1" applyAlignment="1">
      <alignment horizontal="center" vertical="center" shrinkToFit="1"/>
    </xf>
    <xf numFmtId="49" fontId="4" fillId="0" borderId="6" xfId="0" applyNumberFormat="1" applyFont="1" applyFill="1" applyBorder="1" applyAlignment="1">
      <alignment horizontal="center" vertical="center" shrinkToFit="1"/>
    </xf>
    <xf numFmtId="49" fontId="4" fillId="0" borderId="5" xfId="0" applyNumberFormat="1" applyFont="1" applyFill="1" applyBorder="1" applyAlignment="1">
      <alignment horizontal="left" vertical="center" shrinkToFit="1"/>
    </xf>
    <xf numFmtId="176" fontId="4" fillId="0" borderId="5" xfId="0" applyNumberFormat="1" applyFont="1" applyFill="1" applyBorder="1" applyAlignment="1">
      <alignment horizontal="left" vertical="center" shrinkToFit="1"/>
    </xf>
    <xf numFmtId="176" fontId="4" fillId="0" borderId="6" xfId="0" applyNumberFormat="1" applyFont="1" applyFill="1" applyBorder="1" applyAlignment="1">
      <alignment horizontal="left" vertical="center" shrinkToFit="1"/>
    </xf>
    <xf numFmtId="49" fontId="4" fillId="0" borderId="6" xfId="0" applyNumberFormat="1" applyFont="1" applyFill="1" applyBorder="1" applyAlignment="1">
      <alignment horizontal="left" vertical="center" shrinkToFit="1"/>
    </xf>
    <xf numFmtId="49" fontId="4" fillId="0" borderId="2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shrinkToFi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 shrinkToFit="1"/>
    </xf>
    <xf numFmtId="49" fontId="5" fillId="0" borderId="0" xfId="0" applyNumberFormat="1" applyFont="1" applyFill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25"/>
  <sheetViews>
    <sheetView tabSelected="1" workbookViewId="0">
      <selection activeCell="AC15" sqref="AC15"/>
    </sheetView>
  </sheetViews>
  <sheetFormatPr defaultColWidth="9" defaultRowHeight="13.5"/>
  <cols>
    <col min="1" max="1" width="9.625" style="1" customWidth="1"/>
    <col min="2" max="2" width="6.625" style="1" customWidth="1"/>
    <col min="3" max="18" width="4.225" style="1" customWidth="1"/>
    <col min="19" max="24" width="5.225" style="1" customWidth="1"/>
    <col min="25" max="25" width="6.625" style="1" customWidth="1"/>
    <col min="26" max="26" width="9.625" style="1" customWidth="1"/>
    <col min="27" max="16384" width="9" style="2"/>
  </cols>
  <sheetData>
    <row r="1" ht="28" customHeight="1" spans="1:26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8" customHeight="1" spans="1:26">
      <c r="A2" s="4" t="s">
        <v>0</v>
      </c>
      <c r="B2" s="4"/>
      <c r="C2" s="5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30" t="s">
        <v>2</v>
      </c>
      <c r="Z2" s="31"/>
    </row>
    <row r="3" ht="19" customHeight="1" spans="1:26">
      <c r="A3" s="6" t="s">
        <v>3</v>
      </c>
      <c r="B3" s="6"/>
      <c r="C3" s="7" t="s">
        <v>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6" t="s">
        <v>5</v>
      </c>
      <c r="S3" s="6"/>
      <c r="T3" s="6"/>
      <c r="U3" s="7" t="s">
        <v>6</v>
      </c>
      <c r="V3" s="7"/>
      <c r="W3" s="7"/>
      <c r="X3" s="7"/>
      <c r="Y3" s="7"/>
      <c r="Z3" s="7"/>
    </row>
    <row r="4" ht="19" customHeight="1" spans="1:26">
      <c r="A4" s="8" t="s">
        <v>7</v>
      </c>
      <c r="B4" s="8"/>
      <c r="C4" s="9" t="s">
        <v>8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8" t="s">
        <v>9</v>
      </c>
      <c r="S4" s="8"/>
      <c r="T4" s="8"/>
      <c r="U4" s="9"/>
      <c r="V4" s="9"/>
      <c r="W4" s="9"/>
      <c r="X4" s="9"/>
      <c r="Y4" s="9"/>
      <c r="Z4" s="9"/>
    </row>
    <row r="5" ht="19" customHeight="1" spans="1:26">
      <c r="A5" s="10" t="s">
        <v>10</v>
      </c>
      <c r="B5" s="10"/>
      <c r="C5" s="10" t="s">
        <v>11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 t="s">
        <v>12</v>
      </c>
      <c r="T5" s="10" t="s">
        <v>13</v>
      </c>
      <c r="U5" s="10"/>
      <c r="V5" s="10"/>
      <c r="W5" s="10"/>
      <c r="X5" s="27" t="s">
        <v>14</v>
      </c>
      <c r="Y5" s="27" t="s">
        <v>15</v>
      </c>
      <c r="Z5" s="27" t="s">
        <v>16</v>
      </c>
    </row>
    <row r="6" ht="19" customHeight="1" spans="1:26">
      <c r="A6" s="10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10" t="s">
        <v>23</v>
      </c>
      <c r="H6" s="10" t="s">
        <v>24</v>
      </c>
      <c r="I6" s="10" t="s">
        <v>25</v>
      </c>
      <c r="J6" s="10" t="s">
        <v>26</v>
      </c>
      <c r="K6" s="10" t="s">
        <v>27</v>
      </c>
      <c r="L6" s="10" t="s">
        <v>28</v>
      </c>
      <c r="M6" s="10" t="s">
        <v>29</v>
      </c>
      <c r="N6" s="10" t="s">
        <v>30</v>
      </c>
      <c r="O6" s="10" t="s">
        <v>31</v>
      </c>
      <c r="P6" s="10" t="s">
        <v>32</v>
      </c>
      <c r="Q6" s="10" t="s">
        <v>33</v>
      </c>
      <c r="R6" s="10" t="s">
        <v>34</v>
      </c>
      <c r="S6" s="10"/>
      <c r="T6" s="10" t="s">
        <v>35</v>
      </c>
      <c r="U6" s="10" t="s">
        <v>36</v>
      </c>
      <c r="V6" s="10" t="s">
        <v>37</v>
      </c>
      <c r="W6" s="10" t="s">
        <v>38</v>
      </c>
      <c r="X6" s="27"/>
      <c r="Y6" s="27"/>
      <c r="Z6" s="27"/>
    </row>
    <row r="7" ht="18" customHeight="1" spans="1:26">
      <c r="A7" s="11">
        <f>U4</f>
        <v>0</v>
      </c>
      <c r="B7" s="10" t="s">
        <v>19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28"/>
      <c r="T7" s="10" t="s">
        <v>39</v>
      </c>
      <c r="U7" s="10" t="s">
        <v>39</v>
      </c>
      <c r="V7" s="10" t="s">
        <v>39</v>
      </c>
      <c r="W7" s="28">
        <v>6</v>
      </c>
      <c r="X7" s="28">
        <f>S7</f>
        <v>0</v>
      </c>
      <c r="Y7" s="28">
        <f>X7</f>
        <v>0</v>
      </c>
      <c r="Z7" s="28"/>
    </row>
    <row r="8" ht="18" customHeight="1" spans="1:26">
      <c r="A8" s="11"/>
      <c r="B8" s="10" t="s">
        <v>20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28"/>
      <c r="T8" s="10" t="s">
        <v>39</v>
      </c>
      <c r="U8" s="10" t="s">
        <v>39</v>
      </c>
      <c r="V8" s="10" t="s">
        <v>39</v>
      </c>
      <c r="W8" s="28">
        <v>6</v>
      </c>
      <c r="X8" s="28">
        <f t="shared" ref="X8:X16" si="0">S8</f>
        <v>0</v>
      </c>
      <c r="Y8" s="28">
        <f t="shared" ref="Y8:Y16" si="1">X8</f>
        <v>0</v>
      </c>
      <c r="Z8" s="28"/>
    </row>
    <row r="9" ht="18" customHeight="1" spans="1:26">
      <c r="A9" s="11"/>
      <c r="B9" s="10" t="s">
        <v>21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28"/>
      <c r="T9" s="10" t="s">
        <v>39</v>
      </c>
      <c r="U9" s="10" t="s">
        <v>39</v>
      </c>
      <c r="V9" s="10" t="s">
        <v>39</v>
      </c>
      <c r="W9" s="28">
        <v>6</v>
      </c>
      <c r="X9" s="28">
        <f t="shared" si="0"/>
        <v>0</v>
      </c>
      <c r="Y9" s="28">
        <f t="shared" si="1"/>
        <v>0</v>
      </c>
      <c r="Z9" s="28"/>
    </row>
    <row r="10" ht="18" customHeight="1" spans="1:26">
      <c r="A10" s="11"/>
      <c r="B10" s="10" t="s">
        <v>22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28"/>
      <c r="T10" s="10" t="s">
        <v>40</v>
      </c>
      <c r="U10" s="10" t="s">
        <v>40</v>
      </c>
      <c r="V10" s="10" t="s">
        <v>40</v>
      </c>
      <c r="W10" s="28">
        <v>6</v>
      </c>
      <c r="X10" s="28">
        <f t="shared" si="0"/>
        <v>0</v>
      </c>
      <c r="Y10" s="28">
        <f t="shared" si="1"/>
        <v>0</v>
      </c>
      <c r="Z10" s="28"/>
    </row>
    <row r="11" ht="18" customHeight="1" spans="1:26">
      <c r="A11" s="11"/>
      <c r="B11" s="10" t="s">
        <v>23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28"/>
      <c r="T11" s="10" t="s">
        <v>40</v>
      </c>
      <c r="U11" s="10" t="s">
        <v>40</v>
      </c>
      <c r="V11" s="10" t="s">
        <v>40</v>
      </c>
      <c r="W11" s="28">
        <v>6</v>
      </c>
      <c r="X11" s="28">
        <f t="shared" si="0"/>
        <v>0</v>
      </c>
      <c r="Y11" s="28">
        <f t="shared" si="1"/>
        <v>0</v>
      </c>
      <c r="Z11" s="28"/>
    </row>
    <row r="12" ht="18" customHeight="1" spans="1:26">
      <c r="A12" s="11"/>
      <c r="B12" s="10" t="s">
        <v>24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28"/>
      <c r="T12" s="10" t="s">
        <v>40</v>
      </c>
      <c r="U12" s="10" t="s">
        <v>40</v>
      </c>
      <c r="V12" s="10" t="s">
        <v>40</v>
      </c>
      <c r="W12" s="28">
        <v>6</v>
      </c>
      <c r="X12" s="28">
        <f t="shared" si="0"/>
        <v>0</v>
      </c>
      <c r="Y12" s="28">
        <f t="shared" si="1"/>
        <v>0</v>
      </c>
      <c r="Z12" s="28"/>
    </row>
    <row r="13" ht="18" customHeight="1" spans="1:26">
      <c r="A13" s="11"/>
      <c r="B13" s="10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28"/>
      <c r="T13" s="10" t="s">
        <v>40</v>
      </c>
      <c r="U13" s="10" t="s">
        <v>40</v>
      </c>
      <c r="V13" s="10" t="s">
        <v>40</v>
      </c>
      <c r="W13" s="28">
        <v>6</v>
      </c>
      <c r="X13" s="28">
        <f t="shared" si="0"/>
        <v>0</v>
      </c>
      <c r="Y13" s="28">
        <f t="shared" si="1"/>
        <v>0</v>
      </c>
      <c r="Z13" s="28"/>
    </row>
    <row r="14" ht="18" customHeight="1" spans="1:26">
      <c r="A14" s="11"/>
      <c r="B14" s="10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28"/>
      <c r="T14" s="10" t="s">
        <v>40</v>
      </c>
      <c r="U14" s="10" t="s">
        <v>40</v>
      </c>
      <c r="V14" s="10" t="s">
        <v>40</v>
      </c>
      <c r="W14" s="28">
        <v>6</v>
      </c>
      <c r="X14" s="28">
        <f t="shared" si="0"/>
        <v>0</v>
      </c>
      <c r="Y14" s="28">
        <f t="shared" si="1"/>
        <v>0</v>
      </c>
      <c r="Z14" s="28"/>
    </row>
    <row r="15" ht="18" customHeight="1" spans="1:26">
      <c r="A15" s="11"/>
      <c r="B15" s="10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28"/>
      <c r="T15" s="10" t="s">
        <v>40</v>
      </c>
      <c r="U15" s="10" t="s">
        <v>40</v>
      </c>
      <c r="V15" s="10" t="s">
        <v>40</v>
      </c>
      <c r="W15" s="28">
        <v>6</v>
      </c>
      <c r="X15" s="28">
        <f t="shared" si="0"/>
        <v>0</v>
      </c>
      <c r="Y15" s="28">
        <f t="shared" si="1"/>
        <v>0</v>
      </c>
      <c r="Z15" s="28"/>
    </row>
    <row r="16" ht="18" customHeight="1" spans="1:26">
      <c r="A16" s="11"/>
      <c r="B16" s="10" t="s">
        <v>28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28"/>
      <c r="T16" s="10" t="s">
        <v>40</v>
      </c>
      <c r="U16" s="10" t="s">
        <v>40</v>
      </c>
      <c r="V16" s="10" t="s">
        <v>40</v>
      </c>
      <c r="W16" s="28">
        <v>6</v>
      </c>
      <c r="X16" s="28">
        <f t="shared" si="0"/>
        <v>0</v>
      </c>
      <c r="Y16" s="28">
        <f t="shared" si="1"/>
        <v>0</v>
      </c>
      <c r="Z16" s="28"/>
    </row>
    <row r="17" ht="18" customHeight="1" spans="1:26">
      <c r="A17" s="11"/>
      <c r="B17" s="10"/>
      <c r="C17" s="10"/>
      <c r="D17" s="10"/>
      <c r="E17" s="10" t="s">
        <v>41</v>
      </c>
      <c r="F17" s="10"/>
      <c r="G17" s="10"/>
      <c r="H17" s="10"/>
      <c r="I17" s="10" t="s">
        <v>42</v>
      </c>
      <c r="J17" s="10"/>
      <c r="K17" s="10"/>
      <c r="L17" s="10"/>
      <c r="M17" s="10" t="s">
        <v>43</v>
      </c>
      <c r="N17" s="10"/>
      <c r="O17" s="10"/>
      <c r="P17" s="10"/>
      <c r="Q17" s="10" t="s">
        <v>44</v>
      </c>
      <c r="R17" s="10"/>
      <c r="S17" s="10"/>
      <c r="T17" s="10"/>
      <c r="U17" s="10"/>
      <c r="V17" s="10"/>
      <c r="W17" s="10"/>
      <c r="X17" s="10"/>
      <c r="Y17" s="10"/>
      <c r="Z17" s="10"/>
    </row>
    <row r="18" ht="18" customHeight="1" spans="1:26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" customHeight="1" spans="1:26">
      <c r="A19" s="10" t="s">
        <v>45</v>
      </c>
      <c r="B19" s="10"/>
      <c r="C19" s="12" t="s">
        <v>46</v>
      </c>
      <c r="D19" s="12"/>
      <c r="E19" s="12"/>
      <c r="F19" s="12" t="s">
        <v>47</v>
      </c>
      <c r="G19" s="12"/>
      <c r="H19" s="13"/>
      <c r="I19" s="19"/>
      <c r="J19" s="19"/>
      <c r="K19" s="19"/>
      <c r="L19" s="20"/>
      <c r="M19" s="21" t="s">
        <v>48</v>
      </c>
      <c r="N19" s="22"/>
      <c r="O19" s="15" t="s">
        <v>49</v>
      </c>
      <c r="P19" s="23"/>
      <c r="Q19" s="23"/>
      <c r="R19" s="26"/>
      <c r="S19" s="21" t="s">
        <v>50</v>
      </c>
      <c r="T19" s="22"/>
      <c r="U19" s="15" t="s">
        <v>51</v>
      </c>
      <c r="V19" s="23"/>
      <c r="W19" s="26"/>
      <c r="X19" s="10" t="s">
        <v>52</v>
      </c>
      <c r="Y19" s="10"/>
      <c r="Z19" s="10"/>
    </row>
    <row r="20" ht="18" customHeight="1" spans="1:26">
      <c r="A20" s="10" t="s">
        <v>53</v>
      </c>
      <c r="B20" s="10"/>
      <c r="C20" s="12" t="s">
        <v>54</v>
      </c>
      <c r="D20" s="12"/>
      <c r="E20" s="12"/>
      <c r="F20" s="12" t="s">
        <v>55</v>
      </c>
      <c r="G20" s="12"/>
      <c r="H20" s="14">
        <f>MAX(W7:W16)</f>
        <v>6</v>
      </c>
      <c r="I20" s="24"/>
      <c r="J20" s="24"/>
      <c r="K20" s="24"/>
      <c r="L20" s="25"/>
      <c r="M20" s="21" t="s">
        <v>56</v>
      </c>
      <c r="N20" s="22"/>
      <c r="O20" s="15" t="s">
        <v>57</v>
      </c>
      <c r="P20" s="23"/>
      <c r="Q20" s="23"/>
      <c r="R20" s="26"/>
      <c r="S20" s="21" t="s">
        <v>58</v>
      </c>
      <c r="T20" s="22"/>
      <c r="U20" s="15" t="s">
        <v>59</v>
      </c>
      <c r="V20" s="23"/>
      <c r="W20" s="26"/>
      <c r="X20" s="27" t="s">
        <v>60</v>
      </c>
      <c r="Y20" s="27"/>
      <c r="Z20" s="27"/>
    </row>
    <row r="21" ht="18" customHeight="1" spans="1:26">
      <c r="A21" s="10" t="s">
        <v>61</v>
      </c>
      <c r="B21" s="10"/>
      <c r="C21" s="12" t="s">
        <v>62</v>
      </c>
      <c r="D21" s="12"/>
      <c r="E21" s="12"/>
      <c r="F21" s="12" t="s">
        <v>63</v>
      </c>
      <c r="G21" s="12"/>
      <c r="H21" s="15" t="s">
        <v>64</v>
      </c>
      <c r="I21" s="23"/>
      <c r="J21" s="23"/>
      <c r="K21" s="23"/>
      <c r="L21" s="26"/>
      <c r="M21" s="21" t="s">
        <v>65</v>
      </c>
      <c r="N21" s="22"/>
      <c r="O21" s="15" t="s">
        <v>66</v>
      </c>
      <c r="P21" s="23"/>
      <c r="Q21" s="23"/>
      <c r="R21" s="23"/>
      <c r="S21" s="23"/>
      <c r="T21" s="23"/>
      <c r="U21" s="23"/>
      <c r="V21" s="23"/>
      <c r="W21" s="26"/>
      <c r="X21" s="27"/>
      <c r="Y21" s="27"/>
      <c r="Z21" s="27"/>
    </row>
    <row r="22" ht="18" customHeight="1" spans="1:26">
      <c r="A22" s="10" t="s">
        <v>67</v>
      </c>
      <c r="B22" s="10"/>
      <c r="C22" s="12" t="s">
        <v>68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27"/>
      <c r="Y22" s="27"/>
      <c r="Z22" s="27"/>
    </row>
    <row r="23" ht="6" customHeight="1" spans="1:26">
      <c r="A23" s="16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29"/>
      <c r="Y23" s="29"/>
      <c r="Z23" s="29"/>
    </row>
    <row r="24" ht="16" customHeight="1" spans="1:26">
      <c r="A24" s="18" t="s">
        <v>69</v>
      </c>
      <c r="B24" s="18"/>
      <c r="C24" s="7" t="s">
        <v>0</v>
      </c>
      <c r="D24" s="7"/>
      <c r="E24" s="7"/>
      <c r="F24" s="7"/>
      <c r="G24" s="18" t="s">
        <v>70</v>
      </c>
      <c r="H24" s="18"/>
      <c r="I24" s="18"/>
      <c r="J24" s="7" t="s">
        <v>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18" t="s">
        <v>71</v>
      </c>
      <c r="X24" s="18"/>
      <c r="Y24" s="7" t="s">
        <v>72</v>
      </c>
      <c r="Z24" s="7"/>
    </row>
    <row r="25" ht="8" customHeight="1" spans="1:26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</row>
  </sheetData>
  <mergeCells count="52">
    <mergeCell ref="A1:Z1"/>
    <mergeCell ref="A2:B2"/>
    <mergeCell ref="C2:X2"/>
    <mergeCell ref="Y2:Z2"/>
    <mergeCell ref="A3:B3"/>
    <mergeCell ref="C3:Q3"/>
    <mergeCell ref="R3:T3"/>
    <mergeCell ref="U3:Z3"/>
    <mergeCell ref="A4:B4"/>
    <mergeCell ref="C4:Q4"/>
    <mergeCell ref="R4:T4"/>
    <mergeCell ref="U4:Z4"/>
    <mergeCell ref="A5:B5"/>
    <mergeCell ref="C5:R5"/>
    <mergeCell ref="T5:W5"/>
    <mergeCell ref="A19:B19"/>
    <mergeCell ref="C19:E19"/>
    <mergeCell ref="F19:G19"/>
    <mergeCell ref="H19:L19"/>
    <mergeCell ref="M19:N19"/>
    <mergeCell ref="O19:R19"/>
    <mergeCell ref="S19:T19"/>
    <mergeCell ref="U19:W19"/>
    <mergeCell ref="X19:Z19"/>
    <mergeCell ref="A20:B20"/>
    <mergeCell ref="C20:E20"/>
    <mergeCell ref="F20:G20"/>
    <mergeCell ref="H20:L20"/>
    <mergeCell ref="M20:N20"/>
    <mergeCell ref="O20:R20"/>
    <mergeCell ref="S20:T20"/>
    <mergeCell ref="U20:W20"/>
    <mergeCell ref="A21:B21"/>
    <mergeCell ref="C21:E21"/>
    <mergeCell ref="F21:G21"/>
    <mergeCell ref="H21:L21"/>
    <mergeCell ref="M21:N21"/>
    <mergeCell ref="O21:W21"/>
    <mergeCell ref="A22:B22"/>
    <mergeCell ref="C22:W22"/>
    <mergeCell ref="A24:B24"/>
    <mergeCell ref="C24:F24"/>
    <mergeCell ref="G24:I24"/>
    <mergeCell ref="J24:N24"/>
    <mergeCell ref="W24:X24"/>
    <mergeCell ref="Y24:Z24"/>
    <mergeCell ref="A7:A18"/>
    <mergeCell ref="S5:S6"/>
    <mergeCell ref="X5:X6"/>
    <mergeCell ref="Y5:Y6"/>
    <mergeCell ref="Z5:Z6"/>
    <mergeCell ref="X20:Z22"/>
  </mergeCells>
  <pageMargins left="0.75" right="0.75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</cp:lastModifiedBy>
  <dcterms:created xsi:type="dcterms:W3CDTF">2018-09-05T03:03:00Z</dcterms:created>
  <dcterms:modified xsi:type="dcterms:W3CDTF">2026-06-17T03:54:54Z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4DAF1EB18BE7496E8F5CBEC9534C07C2_13</vt:lpwstr>
  </property>
  <property fmtid="{D5CDD505-2E9C-101B-9397-08002B2CF9AE}" pid="3" name="KSOProductBuildVer">
    <vt:lpwstr>2052-12.8.2.18205</vt:lpwstr>
  </property>
</Properties>
</file>