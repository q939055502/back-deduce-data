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输出数据-表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<sst xmlns="http://schemas.openxmlformats.org/spreadsheetml/2006/main" count="186" uniqueCount="177">
  <si>
    <t>名称</t>
  </si>
  <si>
    <t>平均值</t>
  </si>
  <si>
    <t>标准差</t>
  </si>
  <si>
    <t>最小值</t>
  </si>
  <si>
    <t>推定值</t>
  </si>
  <si>
    <t>测区1-1</t>
  </si>
  <si>
    <t>测区1-2</t>
  </si>
  <si>
    <t>测区1-3</t>
  </si>
  <si>
    <t>测区1-4</t>
  </si>
  <si>
    <t>测区1-5</t>
  </si>
  <si>
    <t>测区1-6</t>
  </si>
  <si>
    <t>测区1-7</t>
  </si>
  <si>
    <t>测区1-8</t>
  </si>
  <si>
    <t>测区1-9</t>
  </si>
  <si>
    <t>测区1-10</t>
  </si>
  <si>
    <t>测区1-11</t>
  </si>
  <si>
    <t>测区1-12</t>
  </si>
  <si>
    <t>测区1-13</t>
  </si>
  <si>
    <t>测区1-14</t>
  </si>
  <si>
    <t>测区1-15</t>
  </si>
  <si>
    <t>测区1-16</t>
  </si>
  <si>
    <t>测区1平均值</t>
  </si>
  <si>
    <t>修正值</t>
  </si>
  <si>
    <t>测区2-1</t>
  </si>
  <si>
    <t>测区2-2</t>
  </si>
  <si>
    <t>测区2-3</t>
  </si>
  <si>
    <t>测区2-4</t>
  </si>
  <si>
    <t>测区2-5</t>
  </si>
  <si>
    <t>测区2-6</t>
  </si>
  <si>
    <t>测区2-7</t>
  </si>
  <si>
    <t>测区2-8</t>
  </si>
  <si>
    <t>测区2-9</t>
  </si>
  <si>
    <t>测区2-10</t>
  </si>
  <si>
    <t>测区2-11</t>
  </si>
  <si>
    <t>测区2-12</t>
  </si>
  <si>
    <t>测区2-13</t>
  </si>
  <si>
    <t>测区2-14</t>
  </si>
  <si>
    <t>测区2-15</t>
  </si>
  <si>
    <t>测区2-16</t>
  </si>
  <si>
    <t>测区2平均值</t>
  </si>
  <si>
    <t>测区3-1</t>
  </si>
  <si>
    <t>测区3-2</t>
  </si>
  <si>
    <t>测区3-3</t>
  </si>
  <si>
    <t>测区3-4</t>
  </si>
  <si>
    <t>测区3-5</t>
  </si>
  <si>
    <t>测区3-6</t>
  </si>
  <si>
    <t>测区3-7</t>
  </si>
  <si>
    <t>测区3-8</t>
  </si>
  <si>
    <t>测区3-9</t>
  </si>
  <si>
    <t>测区3-10</t>
  </si>
  <si>
    <t>测区3-11</t>
  </si>
  <si>
    <t>测区3-12</t>
  </si>
  <si>
    <t>测区3-13</t>
  </si>
  <si>
    <t>测区3-14</t>
  </si>
  <si>
    <t>测区3-15</t>
  </si>
  <si>
    <t>测区3-16</t>
  </si>
  <si>
    <t>测区3平均值</t>
  </si>
  <si>
    <t>测区4-1</t>
  </si>
  <si>
    <t>测区4-2</t>
  </si>
  <si>
    <t>测区4-3</t>
  </si>
  <si>
    <t>测区4-4</t>
  </si>
  <si>
    <t>测区4-5</t>
  </si>
  <si>
    <t>测区4-6</t>
  </si>
  <si>
    <t>测区4-7</t>
  </si>
  <si>
    <t>测区4-8</t>
  </si>
  <si>
    <t>测区4-9</t>
  </si>
  <si>
    <t>测区4-10</t>
  </si>
  <si>
    <t>测区4-11</t>
  </si>
  <si>
    <t>测区4-12</t>
  </si>
  <si>
    <t>测区4-13</t>
  </si>
  <si>
    <t>测区4-14</t>
  </si>
  <si>
    <t>测区4-15</t>
  </si>
  <si>
    <t>测区4-16</t>
  </si>
  <si>
    <t>测区4平均值</t>
  </si>
  <si>
    <t>测区5-1</t>
  </si>
  <si>
    <t>测区5-2</t>
  </si>
  <si>
    <t>测区5-3</t>
  </si>
  <si>
    <t>测区5-4</t>
  </si>
  <si>
    <t>测区5-5</t>
  </si>
  <si>
    <t>测区5-6</t>
  </si>
  <si>
    <t>测区5-7</t>
  </si>
  <si>
    <t>测区5-8</t>
  </si>
  <si>
    <t>测区5-9</t>
  </si>
  <si>
    <t>测区5-10</t>
  </si>
  <si>
    <t>测区5-11</t>
  </si>
  <si>
    <t>测区5-12</t>
  </si>
  <si>
    <t>测区5-13</t>
  </si>
  <si>
    <t>测区5-14</t>
  </si>
  <si>
    <t>测区5-15</t>
  </si>
  <si>
    <t>测区5-16</t>
  </si>
  <si>
    <t>测区5平均值</t>
  </si>
  <si>
    <t>测区6-1</t>
  </si>
  <si>
    <t>测区6-2</t>
  </si>
  <si>
    <t>测区6-3</t>
  </si>
  <si>
    <t>测区6-4</t>
  </si>
  <si>
    <t>测区6-5</t>
  </si>
  <si>
    <t>测区6-6</t>
  </si>
  <si>
    <t>测区6-7</t>
  </si>
  <si>
    <t>测区6-8</t>
  </si>
  <si>
    <t>测区6-9</t>
  </si>
  <si>
    <t>测区6-10</t>
  </si>
  <si>
    <t>测区6-11</t>
  </si>
  <si>
    <t>测区6-12</t>
  </si>
  <si>
    <t>测区6-13</t>
  </si>
  <si>
    <t>测区6-14</t>
  </si>
  <si>
    <t>测区6-15</t>
  </si>
  <si>
    <t>测区6-16</t>
  </si>
  <si>
    <t>测区6平均值</t>
  </si>
  <si>
    <t>测区7-1</t>
  </si>
  <si>
    <t>测区7-2</t>
  </si>
  <si>
    <t>测区7-3</t>
  </si>
  <si>
    <t>测区7-4</t>
  </si>
  <si>
    <t>测区7-5</t>
  </si>
  <si>
    <t>测区7-6</t>
  </si>
  <si>
    <t>测区7-7</t>
  </si>
  <si>
    <t>测区7-8</t>
  </si>
  <si>
    <t>测区7-9</t>
  </si>
  <si>
    <t>测区7-10</t>
  </si>
  <si>
    <t>测区7-11</t>
  </si>
  <si>
    <t>测区7-12</t>
  </si>
  <si>
    <t>测区7-13</t>
  </si>
  <si>
    <t>测区7-14</t>
  </si>
  <si>
    <t>测区7-15</t>
  </si>
  <si>
    <t>测区7-16</t>
  </si>
  <si>
    <t>测区7平均值</t>
  </si>
  <si>
    <t>测区8-1</t>
  </si>
  <si>
    <t>测区8-2</t>
  </si>
  <si>
    <t>测区8-3</t>
  </si>
  <si>
    <t>测区8-4</t>
  </si>
  <si>
    <t>测区8-5</t>
  </si>
  <si>
    <t>测区8-6</t>
  </si>
  <si>
    <t>测区8-7</t>
  </si>
  <si>
    <t>测区8-8</t>
  </si>
  <si>
    <t>测区8-9</t>
  </si>
  <si>
    <t>测区8-10</t>
  </si>
  <si>
    <t>测区8-11</t>
  </si>
  <si>
    <t>测区8-12</t>
  </si>
  <si>
    <t>测区8-13</t>
  </si>
  <si>
    <t>测区8-14</t>
  </si>
  <si>
    <t>测区8-15</t>
  </si>
  <si>
    <t>测区8-16</t>
  </si>
  <si>
    <t>测区8平均值</t>
  </si>
  <si>
    <t>测区9-1</t>
  </si>
  <si>
    <t>测区9-2</t>
  </si>
  <si>
    <t>测区9-3</t>
  </si>
  <si>
    <t>测区9-4</t>
  </si>
  <si>
    <t>测区9-5</t>
  </si>
  <si>
    <t>测区9-6</t>
  </si>
  <si>
    <t>测区9-7</t>
  </si>
  <si>
    <t>测区9-8</t>
  </si>
  <si>
    <t>测区9-9</t>
  </si>
  <si>
    <t>测区9-10</t>
  </si>
  <si>
    <t>测区9-11</t>
  </si>
  <si>
    <t>测区9-12</t>
  </si>
  <si>
    <t>测区9-13</t>
  </si>
  <si>
    <t>测区9-14</t>
  </si>
  <si>
    <t>测区9-15</t>
  </si>
  <si>
    <t>测区9-16</t>
  </si>
  <si>
    <t>测区9平均值</t>
  </si>
  <si>
    <t>测区10-1</t>
  </si>
  <si>
    <t>测区10-2</t>
  </si>
  <si>
    <t>测区10-3</t>
  </si>
  <si>
    <t>测区10-4</t>
  </si>
  <si>
    <t>测区10-5</t>
  </si>
  <si>
    <t>测区10-6</t>
  </si>
  <si>
    <t>测区10-7</t>
  </si>
  <si>
    <t>测区10-8</t>
  </si>
  <si>
    <t>测区10-9</t>
  </si>
  <si>
    <t>测区10-10</t>
  </si>
  <si>
    <t>测区10-11</t>
  </si>
  <si>
    <t>测区10-12</t>
  </si>
  <si>
    <t>测区10-13</t>
  </si>
  <si>
    <t>测区10-14</t>
  </si>
  <si>
    <t>测区10-15</t>
  </si>
  <si>
    <t>测区10-16</t>
  </si>
  <si>
    <t>测区10平均值</t>
  </si>
  <si>
    <t>七层梁 6XB-C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</si>
</sst>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C3"/>
  <sheetViews>
    <sheetView tabSelected="1" zoomScaleSheetLayoutView="60" workbookViewId="0">
      <selection activeCell="H8" sqref="H8"/>
    </sheetView>
  </sheetViews>
  <sheetFormatPr defaultColWidth="9" defaultRowHeight="13.5" outlineLevelRow="2"/>
  <cols>
    <col min="1" max="1" width="11.125" style="1" customWidth="1"/>
    <col min="2" max="5" width="7" style="1" customWidth="1"/>
    <col min="6" max="14" width="8.125" style="1" customWidth="1"/>
    <col min="15" max="21" width="9.125" style="1" customWidth="1"/>
    <col min="22" max="23" width="12" style="2" customWidth="1"/>
    <col min="24" max="32" width="8.125" style="1" customWidth="1"/>
    <col min="33" max="39" width="9.125" style="1" customWidth="1"/>
    <col min="40" max="41" width="12" style="2" customWidth="1"/>
    <col min="42" max="50" width="8.125" style="1" customWidth="1"/>
    <col min="51" max="57" width="9.125" style="1" customWidth="1"/>
    <col min="58" max="59" width="12" style="2" customWidth="1"/>
    <col min="60" max="68" width="8.125" style="1" customWidth="1"/>
    <col min="69" max="75" width="9.125" style="1" customWidth="1"/>
    <col min="76" max="77" width="12" style="2" customWidth="1"/>
    <col min="78" max="86" width="8.125" style="1" customWidth="1"/>
    <col min="87" max="93" width="9.125" style="1" customWidth="1"/>
    <col min="94" max="95" width="12" style="2" customWidth="1"/>
    <col min="96" max="104" width="8.125" style="1" customWidth="1"/>
    <col min="105" max="111" width="9.125" style="1" customWidth="1"/>
    <col min="112" max="113" width="12" style="2" customWidth="1"/>
    <col min="114" max="122" width="8.125" style="1" customWidth="1"/>
    <col min="123" max="129" width="9.125" style="1" customWidth="1"/>
    <col min="130" max="131" width="12" style="2" customWidth="1"/>
    <col min="132" max="140" width="8.125" style="1" customWidth="1"/>
    <col min="141" max="147" width="9.125" style="1" customWidth="1"/>
    <col min="148" max="149" width="12" style="2" customWidth="1"/>
    <col min="150" max="158" width="8.125" style="1" customWidth="1"/>
    <col min="159" max="165" width="9.125" style="1" customWidth="1"/>
    <col min="166" max="167" width="12" style="2" customWidth="1"/>
    <col min="168" max="176" width="9.125" style="1" customWidth="1"/>
    <col min="177" max="183" width="10.125" style="1" customWidth="1"/>
    <col min="184" max="184" width="13.125" style="2" customWidth="1"/>
    <col min="185" max="185" width="9" style="2"/>
  </cols>
  <sheetData>
    <row r="1" spans="1:1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22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2" t="s">
        <v>56</v>
      </c>
      <c r="BG1" s="2" t="s">
        <v>22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2" t="s">
        <v>73</v>
      </c>
      <c r="BY1" s="2" t="s">
        <v>22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2" t="s">
        <v>90</v>
      </c>
      <c r="CQ1" s="2" t="s">
        <v>22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2" t="s">
        <v>107</v>
      </c>
      <c r="DI1" s="2" t="s">
        <v>22</v>
      </c>
      <c r="DJ1" s="1" t="s">
        <v>108</v>
      </c>
      <c r="DK1" s="1" t="s">
        <v>109</v>
      </c>
      <c r="DL1" s="1" t="s">
        <v>110</v>
      </c>
      <c r="DM1" s="1" t="s">
        <v>111</v>
      </c>
      <c r="DN1" s="1" t="s">
        <v>112</v>
      </c>
      <c r="DO1" s="1" t="s">
        <v>113</v>
      </c>
      <c r="DP1" s="1" t="s">
        <v>114</v>
      </c>
      <c r="DQ1" s="1" t="s">
        <v>115</v>
      </c>
      <c r="DR1" s="1" t="s">
        <v>116</v>
      </c>
      <c r="DS1" s="1" t="s">
        <v>117</v>
      </c>
      <c r="DT1" s="1" t="s">
        <v>118</v>
      </c>
      <c r="DU1" s="1" t="s">
        <v>119</v>
      </c>
      <c r="DV1" s="1" t="s">
        <v>120</v>
      </c>
      <c r="DW1" s="1" t="s">
        <v>121</v>
      </c>
      <c r="DX1" s="1" t="s">
        <v>122</v>
      </c>
      <c r="DY1" s="1" t="s">
        <v>123</v>
      </c>
      <c r="DZ1" s="2" t="s">
        <v>124</v>
      </c>
      <c r="EA1" s="2" t="s">
        <v>22</v>
      </c>
      <c r="EB1" s="1" t="s">
        <v>125</v>
      </c>
      <c r="EC1" s="1" t="s">
        <v>126</v>
      </c>
      <c r="ED1" s="1" t="s">
        <v>127</v>
      </c>
      <c r="EE1" s="1" t="s">
        <v>128</v>
      </c>
      <c r="EF1" s="1" t="s">
        <v>129</v>
      </c>
      <c r="EG1" s="1" t="s">
        <v>130</v>
      </c>
      <c r="EH1" s="1" t="s">
        <v>131</v>
      </c>
      <c r="EI1" s="1" t="s">
        <v>132</v>
      </c>
      <c r="EJ1" s="1" t="s">
        <v>133</v>
      </c>
      <c r="EK1" s="1" t="s">
        <v>134</v>
      </c>
      <c r="EL1" s="1" t="s">
        <v>135</v>
      </c>
      <c r="EM1" s="1" t="s">
        <v>136</v>
      </c>
      <c r="EN1" s="1" t="s">
        <v>137</v>
      </c>
      <c r="EO1" s="1" t="s">
        <v>138</v>
      </c>
      <c r="EP1" s="1" t="s">
        <v>139</v>
      </c>
      <c r="EQ1" s="1" t="s">
        <v>140</v>
      </c>
      <c r="ER1" s="2" t="s">
        <v>141</v>
      </c>
      <c r="ES1" s="2" t="s">
        <v>22</v>
      </c>
      <c r="ET1" s="1" t="s">
        <v>142</v>
      </c>
      <c r="EU1" s="1" t="s">
        <v>143</v>
      </c>
      <c r="EV1" s="1" t="s">
        <v>144</v>
      </c>
      <c r="EW1" s="1" t="s">
        <v>145</v>
      </c>
      <c r="EX1" s="1" t="s">
        <v>146</v>
      </c>
      <c r="EY1" s="1" t="s">
        <v>147</v>
      </c>
      <c r="EZ1" s="1" t="s">
        <v>148</v>
      </c>
      <c r="FA1" s="1" t="s">
        <v>149</v>
      </c>
      <c r="FB1" s="1" t="s">
        <v>150</v>
      </c>
      <c r="FC1" s="1" t="s">
        <v>151</v>
      </c>
      <c r="FD1" s="1" t="s">
        <v>152</v>
      </c>
      <c r="FE1" s="1" t="s">
        <v>153</v>
      </c>
      <c r="FF1" s="1" t="s">
        <v>154</v>
      </c>
      <c r="FG1" s="1" t="s">
        <v>155</v>
      </c>
      <c r="FH1" s="1" t="s">
        <v>156</v>
      </c>
      <c r="FI1" s="1" t="s">
        <v>157</v>
      </c>
      <c r="FJ1" s="2" t="s">
        <v>158</v>
      </c>
      <c r="FK1" s="2" t="s">
        <v>22</v>
      </c>
      <c r="FL1" s="1" t="s">
        <v>159</v>
      </c>
      <c r="FM1" s="1" t="s">
        <v>160</v>
      </c>
      <c r="FN1" s="1" t="s">
        <v>161</v>
      </c>
      <c r="FO1" s="1" t="s">
        <v>162</v>
      </c>
      <c r="FP1" s="1" t="s">
        <v>163</v>
      </c>
      <c r="FQ1" s="1" t="s">
        <v>164</v>
      </c>
      <c r="FR1" s="1" t="s">
        <v>165</v>
      </c>
      <c r="FS1" s="1" t="s">
        <v>166</v>
      </c>
      <c r="FT1" s="1" t="s">
        <v>167</v>
      </c>
      <c r="FU1" s="1" t="s">
        <v>168</v>
      </c>
      <c r="FV1" s="1" t="s">
        <v>169</v>
      </c>
      <c r="FW1" s="1" t="s">
        <v>170</v>
      </c>
      <c r="FX1" s="1" t="s">
        <v>171</v>
      </c>
      <c r="FY1" s="1" t="s">
        <v>172</v>
      </c>
      <c r="FZ1" s="1" t="s">
        <v>173</v>
      </c>
      <c r="GA1" s="1" t="s">
        <v>174</v>
      </c>
      <c r="GB1" s="2" t="s">
        <v>175</v>
      </c>
      <c r="GC1" s="2" t="s">
        <v>22</v>
      </c>
    </row>
    <row r="2" spans="1:185">
      <c r="A2" s="1" t="s">
        <v>176</v>
      </c>
      <c r="B2" s="1">
        <v>44.2</v>
      </c>
      <c r="C2" s="1">
        <v>6.55</v>
      </c>
      <c r="D2" s="1">
        <v>35.4</v>
      </c>
      <c r="E2" s="1">
        <v>33.4</v>
      </c>
      <c r="F2" s="1">
        <v>48</v>
      </c>
      <c r="G2" s="1">
        <v>45</v>
      </c>
      <c r="H2" s="1">
        <v>32</v>
      </c>
      <c r="I2" s="1">
        <v>45</v>
      </c>
      <c r="J2" s="1">
        <v>30</v>
      </c>
      <c r="K2" s="1">
        <v>40</v>
      </c>
      <c r="L2" s="1">
        <v>39</v>
      </c>
      <c r="M2" s="1">
        <v>51</v>
      </c>
      <c r="N2" s="1">
        <v>41</v>
      </c>
      <c r="O2" s="1">
        <v>31</v>
      </c>
      <c r="P2" s="1">
        <v>30</v>
      </c>
      <c r="Q2" s="1">
        <v>44</v>
      </c>
      <c r="R2" s="1">
        <v>38</v>
      </c>
      <c r="S2" s="1">
        <v>27</v>
      </c>
      <c r="T2" s="1">
        <v>50</v>
      </c>
      <c r="U2" s="1">
        <v>53</v>
      </c>
      <c r="V2" s="2">
        <v>40.3</v>
      </c>
      <c r="W2" s="2">
        <v>35.4</v>
      </c>
      <c r="X2" s="1">
        <v>50</v>
      </c>
      <c r="Y2" s="1">
        <v>60</v>
      </c>
      <c r="Z2" s="1">
        <v>42</v>
      </c>
      <c r="AA2" s="1">
        <v>53</v>
      </c>
      <c r="AB2" s="1">
        <v>39</v>
      </c>
      <c r="AC2" s="1">
        <v>50</v>
      </c>
      <c r="AD2" s="1">
        <v>40</v>
      </c>
      <c r="AE2" s="1">
        <v>59</v>
      </c>
      <c r="AF2" s="1">
        <v>56</v>
      </c>
      <c r="AG2" s="1">
        <v>35</v>
      </c>
      <c r="AH2" s="1">
        <v>48</v>
      </c>
      <c r="AI2" s="1">
        <v>44</v>
      </c>
      <c r="AJ2" s="1">
        <v>38</v>
      </c>
      <c r="AK2" s="1">
        <v>57</v>
      </c>
      <c r="AL2" s="1">
        <v>42</v>
      </c>
      <c r="AM2" s="1">
        <v>58</v>
      </c>
      <c r="AN2" s="2">
        <v>48.2</v>
      </c>
      <c r="AO2" s="2">
        <v>50</v>
      </c>
      <c r="AP2" s="1">
        <v>46</v>
      </c>
      <c r="AQ2" s="1">
        <v>49</v>
      </c>
      <c r="AR2" s="1">
        <v>28</v>
      </c>
      <c r="AS2" s="1">
        <v>54</v>
      </c>
      <c r="AT2" s="1">
        <v>43</v>
      </c>
      <c r="AU2" s="1">
        <v>49</v>
      </c>
      <c r="AV2" s="1">
        <v>29</v>
      </c>
      <c r="AW2" s="1">
        <v>42</v>
      </c>
      <c r="AX2" s="1">
        <v>54</v>
      </c>
      <c r="AY2" s="1">
        <v>30</v>
      </c>
      <c r="AZ2" s="1">
        <v>53</v>
      </c>
      <c r="BA2" s="1">
        <v>41</v>
      </c>
      <c r="BB2" s="1">
        <v>42</v>
      </c>
      <c r="BC2" s="1">
        <v>33</v>
      </c>
      <c r="BD2" s="1">
        <v>38</v>
      </c>
      <c r="BE2" s="1">
        <v>37</v>
      </c>
      <c r="BF2" s="2">
        <v>42</v>
      </c>
      <c r="BG2" s="2">
        <v>38.3</v>
      </c>
      <c r="BH2" s="1">
        <v>51</v>
      </c>
      <c r="BI2" s="1">
        <v>51</v>
      </c>
      <c r="BJ2" s="1">
        <v>33</v>
      </c>
      <c r="BK2" s="1">
        <v>51</v>
      </c>
      <c r="BL2" s="1">
        <v>30</v>
      </c>
      <c r="BM2" s="1">
        <v>43</v>
      </c>
      <c r="BN2" s="1">
        <v>30</v>
      </c>
      <c r="BO2" s="1">
        <v>53</v>
      </c>
      <c r="BP2" s="1">
        <v>30</v>
      </c>
      <c r="BQ2" s="1">
        <v>37</v>
      </c>
      <c r="BR2" s="1">
        <v>41</v>
      </c>
      <c r="BS2" s="1">
        <v>57</v>
      </c>
      <c r="BT2" s="1">
        <v>41</v>
      </c>
      <c r="BU2" s="1">
        <v>55</v>
      </c>
      <c r="BV2" s="1">
        <v>57</v>
      </c>
      <c r="BW2" s="1">
        <v>35</v>
      </c>
      <c r="BX2" s="2">
        <v>43.6</v>
      </c>
      <c r="BY2" s="2">
        <v>41.2</v>
      </c>
      <c r="BZ2" s="1">
        <v>37</v>
      </c>
      <c r="CA2" s="1">
        <v>47</v>
      </c>
      <c r="CB2" s="1">
        <v>49</v>
      </c>
      <c r="CC2" s="1">
        <v>33</v>
      </c>
      <c r="CD2" s="1">
        <v>54</v>
      </c>
      <c r="CE2" s="1">
        <v>52</v>
      </c>
      <c r="CF2" s="1">
        <v>57</v>
      </c>
      <c r="CG2" s="1">
        <v>49</v>
      </c>
      <c r="CH2" s="1">
        <v>35</v>
      </c>
      <c r="CI2" s="1">
        <v>33</v>
      </c>
      <c r="CJ2" s="1">
        <v>45</v>
      </c>
      <c r="CK2" s="1">
        <v>36</v>
      </c>
      <c r="CL2" s="1">
        <v>50</v>
      </c>
      <c r="CM2" s="1">
        <v>49</v>
      </c>
      <c r="CN2" s="1">
        <v>30</v>
      </c>
      <c r="CO2" s="1">
        <v>53</v>
      </c>
      <c r="CP2" s="2">
        <v>44.9</v>
      </c>
      <c r="CQ2" s="2">
        <v>43.6</v>
      </c>
      <c r="CR2" s="1">
        <v>45</v>
      </c>
      <c r="CS2" s="1">
        <v>38</v>
      </c>
      <c r="CT2" s="1">
        <v>51</v>
      </c>
      <c r="CU2" s="1">
        <v>38</v>
      </c>
      <c r="CV2" s="1">
        <v>43</v>
      </c>
      <c r="CW2" s="1">
        <v>42</v>
      </c>
      <c r="CX2" s="1">
        <v>48</v>
      </c>
      <c r="CY2" s="1">
        <v>59</v>
      </c>
      <c r="CZ2" s="1">
        <v>51</v>
      </c>
      <c r="DA2" s="1">
        <v>40</v>
      </c>
      <c r="DB2" s="1">
        <v>53</v>
      </c>
      <c r="DC2" s="1">
        <v>55</v>
      </c>
      <c r="DD2" s="1">
        <v>54</v>
      </c>
      <c r="DE2" s="1">
        <v>56</v>
      </c>
      <c r="DF2" s="1">
        <v>52</v>
      </c>
      <c r="DG2" s="1">
        <v>57</v>
      </c>
      <c r="DH2" s="2">
        <v>49.4</v>
      </c>
      <c r="DI2" s="2">
        <v>52.4</v>
      </c>
      <c r="DJ2" s="1">
        <v>36</v>
      </c>
      <c r="DK2" s="1">
        <v>37</v>
      </c>
      <c r="DL2" s="1">
        <v>61</v>
      </c>
      <c r="DM2" s="1">
        <v>43</v>
      </c>
      <c r="DN2" s="1">
        <v>41</v>
      </c>
      <c r="DO2" s="1">
        <v>53</v>
      </c>
      <c r="DP2" s="1">
        <v>61</v>
      </c>
      <c r="DQ2" s="1">
        <v>47</v>
      </c>
      <c r="DR2" s="1">
        <v>54</v>
      </c>
      <c r="DS2" s="1">
        <v>40</v>
      </c>
      <c r="DT2" s="1">
        <v>57</v>
      </c>
      <c r="DU2" s="1">
        <v>58</v>
      </c>
      <c r="DV2" s="1">
        <v>49</v>
      </c>
      <c r="DW2" s="1">
        <v>33</v>
      </c>
      <c r="DX2" s="1">
        <v>53</v>
      </c>
      <c r="DY2" s="1">
        <v>35</v>
      </c>
      <c r="DZ2" s="2">
        <v>47.4</v>
      </c>
      <c r="EA2" s="2">
        <v>48.4</v>
      </c>
      <c r="EB2" s="1">
        <v>39</v>
      </c>
      <c r="EC2" s="1">
        <v>35</v>
      </c>
      <c r="ED2" s="1">
        <v>41</v>
      </c>
      <c r="EE2" s="1">
        <v>57</v>
      </c>
      <c r="EF2" s="1">
        <v>50</v>
      </c>
      <c r="EG2" s="1">
        <v>46</v>
      </c>
      <c r="EH2" s="1">
        <v>43</v>
      </c>
      <c r="EI2" s="1">
        <v>53</v>
      </c>
      <c r="EJ2" s="1">
        <v>29</v>
      </c>
      <c r="EK2" s="1">
        <v>52</v>
      </c>
      <c r="EL2" s="1">
        <v>30</v>
      </c>
      <c r="EM2" s="1">
        <v>32</v>
      </c>
      <c r="EN2" s="1">
        <v>54</v>
      </c>
      <c r="EO2" s="1">
        <v>41</v>
      </c>
      <c r="EP2" s="1">
        <v>50</v>
      </c>
      <c r="EQ2" s="1">
        <v>29</v>
      </c>
      <c r="ER2" s="2">
        <v>42.9</v>
      </c>
      <c r="ES2" s="2">
        <v>39.9</v>
      </c>
      <c r="ET2" s="1">
        <v>53</v>
      </c>
      <c r="EU2" s="1">
        <v>28</v>
      </c>
      <c r="EV2" s="1">
        <v>32</v>
      </c>
      <c r="EW2" s="1">
        <v>28</v>
      </c>
      <c r="EX2" s="1">
        <v>32</v>
      </c>
      <c r="EY2" s="1">
        <v>50</v>
      </c>
      <c r="EZ2" s="1">
        <v>51</v>
      </c>
      <c r="FA2" s="1">
        <v>45</v>
      </c>
      <c r="FB2" s="1">
        <v>56</v>
      </c>
      <c r="FC2" s="1">
        <v>43</v>
      </c>
      <c r="FD2" s="1">
        <v>42</v>
      </c>
      <c r="FE2" s="1">
        <v>33</v>
      </c>
      <c r="FF2" s="1">
        <v>50</v>
      </c>
      <c r="FG2" s="1">
        <v>31</v>
      </c>
      <c r="FH2" s="1">
        <v>54</v>
      </c>
      <c r="FI2" s="1">
        <v>45</v>
      </c>
      <c r="FJ2" s="2">
        <v>42.3</v>
      </c>
      <c r="FK2" s="2">
        <v>38.8</v>
      </c>
      <c r="FL2" s="1">
        <v>49</v>
      </c>
      <c r="FM2" s="1">
        <v>53</v>
      </c>
      <c r="FN2" s="1">
        <v>44</v>
      </c>
      <c r="FO2" s="1">
        <v>37</v>
      </c>
      <c r="FP2" s="1">
        <v>64</v>
      </c>
      <c r="FQ2" s="1">
        <v>64</v>
      </c>
      <c r="FR2" s="1">
        <v>60</v>
      </c>
      <c r="FS2" s="1">
        <v>62</v>
      </c>
      <c r="FT2" s="1">
        <v>57</v>
      </c>
      <c r="FU2" s="1">
        <v>41</v>
      </c>
      <c r="FV2" s="1">
        <v>40</v>
      </c>
      <c r="FW2" s="1">
        <v>46</v>
      </c>
      <c r="FX2" s="1">
        <v>37</v>
      </c>
      <c r="FY2" s="1">
        <v>46</v>
      </c>
      <c r="FZ2" s="1">
        <v>48</v>
      </c>
      <c r="GA2" s="1">
        <v>58</v>
      </c>
      <c r="GB2" s="2">
        <v>50.2</v>
      </c>
      <c r="GC2" s="2">
        <v>54.1</v>
      </c>
    </row>
    <row r="3" spans="2:184">
      <c r="B3" s="1">
        <f>ROUND(SUM(W2,AO2,BG2,BY2,CQ2,DI2,EA2,ES2,FK2,GC2)/10,1)</f>
        <v>44.2</v>
      </c>
      <c r="C3" s="1">
        <f>ROUND(STDEV(W2,AO2,BG2,BY2,CQ2,DI2,EA2,ES2,FK2,GC2),2)</f>
        <v>6.55</v>
      </c>
      <c r="D3" s="1">
        <f>MIN(W2,AO2,BG2,BY2,CQ2,DI2,EA2,ES2,FK2,GC2)</f>
        <v>35.4</v>
      </c>
      <c r="F3" s="1">
        <v>1</v>
      </c>
      <c r="V3" s="2">
        <f>ROUND((SUM(F2:U2)-LARGE(F2:U2,1)-LARGE(F2:U2,2)-LARGE(F2:U2,3)-SMALL(F2:U2,1)-SMALL(F2:U2,2)-SMALL(F2:U2,3))/10,1)</f>
        <v>40.3</v>
      </c>
      <c r="X3" s="1">
        <v>2</v>
      </c>
      <c r="AN3" s="2">
        <f>ROUND((SUM(X2:AM2)-LARGE(X2:AM2,1)-LARGE(X2:AM2,2)-LARGE(X2:AM2,3)-SMALL(X2:AM2,1)-SMALL(X2:AM2,2)-SMALL(X2:AM2,3))/10,1)</f>
        <v>48.2</v>
      </c>
      <c r="AP3" s="1">
        <v>3</v>
      </c>
      <c r="BF3" s="2">
        <f>ROUND((SUM(AP2:BE2)-LARGE(AP2:BE2,1)-LARGE(AP2:BE2,2)-LARGE(AP2:BE2,3)-SMALL(AP2:BE2,1)-SMALL(AP2:BE2,2)-SMALL(AP2:BE2,3))/10,1)</f>
        <v>42</v>
      </c>
      <c r="BH3" s="1">
        <v>4</v>
      </c>
      <c r="BX3" s="2">
        <f>ROUND((SUM(BH2:BW2)-LARGE(BH2:BW2,1)-LARGE(BH2:BW2,2)-LARGE(BH2:BW2,3)-SMALL(BH2:BW2,1)-SMALL(BH2:BW2,2)-SMALL(BH2:BW2,3))/10,1)</f>
        <v>43.6</v>
      </c>
      <c r="BZ3" s="1">
        <v>5</v>
      </c>
      <c r="CP3" s="2">
        <f>ROUND((SUM(BZ2:CO2)-LARGE(BZ2:CO2,1)-LARGE(BZ2:CO2,2)-LARGE(BZ2:CO2,3)-SMALL(BZ2:CO2,1)-SMALL(BZ2:CO2,2)-SMALL(BZ2:CO2,3))/10,1)</f>
        <v>44.9</v>
      </c>
      <c r="CR3" s="1">
        <v>6</v>
      </c>
      <c r="DH3" s="2">
        <f>ROUND((SUM(CR2:DG2)-LARGE(CR2:DG2,1)-LARGE(CR2:DG2,2)-LARGE(CR2:DG2,3)-SMALL(CR2:DG2,1)-SMALL(CR2:DG2,2)-SMALL(CR2:DG2,3))/10,1)</f>
        <v>49.4</v>
      </c>
      <c r="DJ3" s="1">
        <v>7</v>
      </c>
      <c r="DZ3" s="2">
        <f>ROUND((SUM(DJ2:DY2)-LARGE(DJ2:DY2,1)-LARGE(DJ2:DY2,2)-LARGE(DJ2:DY2,3)-SMALL(DJ2:DY2,1)-SMALL(DJ2:DY2,2)-SMALL(DJ2:DY2,3))/10,1)</f>
        <v>47.4</v>
      </c>
      <c r="EB3" s="1">
        <v>8</v>
      </c>
      <c r="ER3" s="2">
        <f>ROUND((SUM(EB2:EQ2)-LARGE(EB2:EQ2,1)-LARGE(EB2:EQ2,2)-LARGE(EB2:EQ2,3)-SMALL(EB2:EQ2,1)-SMALL(EB2:EQ2,2)-SMALL(EB2:EQ2,3))/10,1)</f>
        <v>42.9</v>
      </c>
      <c r="ET3" s="1">
        <v>9</v>
      </c>
      <c r="FJ3" s="2">
        <f>ROUND((SUM(ET2:FI2)-LARGE(ET2:FI2,1)-LARGE(ET2:FI2,2)-LARGE(ET2:FI2,3)-SMALL(ET2:FI2,1)-SMALL(ET2:FI2,2)-SMALL(ET2:FI2,3))/10,1)</f>
        <v>42.3</v>
      </c>
      <c r="FL3" s="1">
        <v>10</v>
      </c>
      <c r="GB3" s="2">
        <f>ROUND((SUM(FL2:GA2)-LARGE(FL2:GA2,1)-LARGE(FL2:GA2,2)-LARGE(FL2:GA2,3)-SMALL(FL2:GA2,1)-SMALL(FL2:GA2,2)-SMALL(FL2:GA2,3))/10,1)</f>
        <v>50.2</v>
      </c>
    </row>
  </sheetData>
  <mergeCells count="10">
    <mergeCell ref="F3:U3"/>
    <mergeCell ref="X3:AM3"/>
    <mergeCell ref="AP3:BE3"/>
    <mergeCell ref="BH3:BW3"/>
    <mergeCell ref="BZ3:CO3"/>
    <mergeCell ref="CR3:DG3"/>
    <mergeCell ref="DJ3:DY3"/>
    <mergeCell ref="EB3:EQ3"/>
    <mergeCell ref="ET3:FI3"/>
    <mergeCell ref="FL3:G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输出数据-表头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</cp:lastModifiedBy>
  <dcterms:created xsi:type="dcterms:W3CDTF">2026-06-16T12:45:50Z</dcterms:created>
  <dcterms:modified xsi:type="dcterms:W3CDTF">2026-06-17T01:51:17Z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599A74FC798E42F18E86E3F5D711D1B5_13</vt:lpwstr>
  </property>
  <property fmtid="{D5CDD505-2E9C-101B-9397-08002B2CF9AE}" pid="3" name="KSOProductBuildVer">
    <vt:lpwstr>2052-12.8.2.18205</vt:lpwstr>
  </property>
</Properties>
</file>